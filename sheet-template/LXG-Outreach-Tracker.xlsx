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Intake" sheetId="2" state="visible" r:id="rId2"/>
    <sheet xmlns:r="http://schemas.openxmlformats.org/officeDocument/2006/relationships" name="Suppression" sheetId="3" state="visible" r:id="rId3"/>
    <sheet xmlns:r="http://schemas.openxmlformats.org/officeDocument/2006/relationships" name="Errors" sheetId="4" state="visible" r:id="rId4"/>
    <sheet xmlns:r="http://schemas.openxmlformats.org/officeDocument/2006/relationships" name="Heartbeat" sheetId="5" state="visible" r:id="rId5"/>
    <sheet xmlns:r="http://schemas.openxmlformats.org/officeDocument/2006/relationships" name="Summary" sheetId="6" state="visible" r:id="rId6"/>
  </sheets>
  <definedNames>
    <definedName name="_xlnm._FilterDatabase" localSheetId="0" hidden="1">'Leads'!$A$1:$AE$1</definedName>
    <definedName name="_xlnm._FilterDatabase" localSheetId="1" hidden="1">'Intake'!$A$1:$U$1</definedName>
    <definedName name="_xlnm._FilterDatabase" localSheetId="2" hidden="1">'Suppression'!$A$1:$E$1</definedName>
    <definedName name="_xlnm._FilterDatabase" localSheetId="3" hidden="1">'Errors'!$A$1:$G$1</definedName>
    <definedName name="_xlnm._FilterDatabase" localSheetId="4" hidden="1">'Heartbeat'!$A$1:$I$1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bgColor rgb="00F8CBAD"/>
        </patternFill>
      </fill>
    </dxf>
    <dxf>
      <fill>
        <patternFill patternType="solid">
          <bgColor rgb="00C6EFCE"/>
        </patternFill>
      </fill>
    </dxf>
    <dxf>
      <fill>
        <patternFill patternType="solid">
          <bgColor rgb="00FFEB9C"/>
        </patternFill>
      </fill>
    </dxf>
    <dxf>
      <fill>
        <patternFill patternType="solid">
          <b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5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5" customWidth="1" min="10" max="10"/>
    <col width="18" customWidth="1" min="11" max="11"/>
    <col width="14" customWidth="1" min="12" max="12"/>
    <col width="16" customWidth="1" min="13" max="13"/>
    <col width="19" customWidth="1" min="14" max="14"/>
    <col width="21" customWidth="1" min="15" max="15"/>
    <col width="16" customWidth="1" min="16" max="16"/>
    <col width="20" customWidth="1" min="17" max="17"/>
    <col width="18" customWidth="1" min="18" max="18"/>
    <col width="18" customWidth="1" min="19" max="19"/>
    <col width="14" customWidth="1" min="20" max="20"/>
    <col width="18" customWidth="1" min="21" max="21"/>
    <col width="14" customWidth="1" min="22" max="22"/>
    <col width="20" customWidth="1" min="23" max="23"/>
    <col width="31" customWidth="1" min="24" max="24"/>
    <col width="14" customWidth="1" min="25" max="25"/>
    <col width="14" customWidth="1" min="26" max="26"/>
    <col width="20" customWidth="1" min="27" max="27"/>
    <col width="16" customWidth="1" min="28" max="28"/>
    <col width="14" customWidth="1" min="29" max="29"/>
    <col width="17" customWidth="1" min="30" max="30"/>
    <col width="17" customWidth="1" min="31" max="31"/>
  </cols>
  <sheetData>
    <row r="1">
      <c r="A1" s="1" t="inlineStr">
        <is>
          <t>Lead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Job Title</t>
        </is>
      </c>
      <c r="E1" s="1" t="inlineStr">
        <is>
          <t>Company</t>
        </is>
      </c>
      <c r="F1" s="1" t="inlineStr">
        <is>
          <t>Domain</t>
        </is>
      </c>
      <c r="G1" s="1" t="inlineStr">
        <is>
          <t>Email</t>
        </is>
      </c>
      <c r="H1" s="1" t="inlineStr">
        <is>
          <t>Industry</t>
        </is>
      </c>
      <c r="I1" s="1" t="inlineStr">
        <is>
          <t>Country</t>
        </is>
      </c>
      <c r="J1" s="1" t="inlineStr">
        <is>
          <t>Apollo ID</t>
        </is>
      </c>
      <c r="K1" s="1" t="inlineStr">
        <is>
          <t>Instantly ID</t>
        </is>
      </c>
      <c r="L1" s="1" t="inlineStr">
        <is>
          <t>Campaign</t>
        </is>
      </c>
      <c r="M1" s="1" t="inlineStr">
        <is>
          <t>Date Added</t>
        </is>
      </c>
      <c r="N1" s="1" t="inlineStr">
        <is>
          <t>Date Enrolled</t>
        </is>
      </c>
      <c r="O1" s="1" t="inlineStr">
        <is>
          <t>Last Email Sent</t>
        </is>
      </c>
      <c r="P1" s="1" t="inlineStr">
        <is>
          <t>Reply Date</t>
        </is>
      </c>
      <c r="Q1" s="1" t="inlineStr">
        <is>
          <t>Current Status</t>
        </is>
      </c>
      <c r="R1" s="1" t="inlineStr">
        <is>
          <t>Error Status</t>
        </is>
      </c>
      <c r="S1" s="1" t="inlineStr">
        <is>
          <t>Last Updated</t>
        </is>
      </c>
      <c r="T1" s="1" t="inlineStr">
        <is>
          <t>Website</t>
        </is>
      </c>
      <c r="U1" s="1" t="inlineStr">
        <is>
          <t>Company Type</t>
        </is>
      </c>
      <c r="V1" s="1" t="inlineStr">
        <is>
          <t>City</t>
        </is>
      </c>
      <c r="W1" s="1" t="inlineStr">
        <is>
          <t>Employee Count</t>
        </is>
      </c>
      <c r="X1" s="1" t="inlineStr">
        <is>
          <t>Email Verification Status</t>
        </is>
      </c>
      <c r="Y1" s="1" t="inlineStr">
        <is>
          <t>Source</t>
        </is>
      </c>
      <c r="Z1" s="1" t="inlineStr">
        <is>
          <t>Segment</t>
        </is>
      </c>
      <c r="AA1" s="1" t="inlineStr">
        <is>
          <t>Last Step Sent</t>
        </is>
      </c>
      <c r="AB1" s="1" t="inlineStr">
        <is>
          <t>Reply Meta</t>
        </is>
      </c>
      <c r="AC1" s="1" t="inlineStr">
        <is>
          <t>Ack Sent</t>
        </is>
      </c>
      <c r="AD1" s="1" t="inlineStr">
        <is>
          <t>Retry Count</t>
        </is>
      </c>
      <c r="AE1" s="1" t="inlineStr">
        <is>
          <t>Stop Reason</t>
        </is>
      </c>
    </row>
  </sheetData>
  <autoFilter ref="A1:AE1"/>
  <conditionalFormatting sqref="Q2:Q20000">
    <cfRule type="cellIs" priority="1" operator="equal" dxfId="0">
      <formula>"ERROR"</formula>
    </cfRule>
    <cfRule type="cellIs" priority="2" operator="equal" dxfId="1">
      <formula>"REPLIED"</formula>
    </cfRule>
    <cfRule type="cellIs" priority="3" operator="equal" dxfId="2">
      <formula>"UNSUBSCRIBED"</formula>
    </cfRule>
    <cfRule type="cellIs" priority="4" operator="equal" dxfId="3">
      <formula>"STOPPED"</formula>
    </cfRule>
  </conditionalFormatting>
  <dataValidations count="1">
    <dataValidation sqref="Q2:Q20000" showDropDown="0" showInputMessage="0" showErrorMessage="0" allowBlank="1" type="list">
      <formula1>"NEW,QUALIFIED,ENROLLED,CONTACTED,FOLLOW_UP_PENDING,COMPLETED,REPLIED,STOPPED,UNSUBSCRIBED,ERROR"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4" customWidth="1" min="3" max="3"/>
    <col width="15" customWidth="1" min="4" max="4"/>
    <col width="16" customWidth="1" min="5" max="5"/>
    <col width="15" customWidth="1" min="6" max="6"/>
    <col width="15" customWidth="1" min="7" max="7"/>
    <col width="15" customWidth="1" min="8" max="8"/>
    <col width="14" customWidth="1" min="9" max="9"/>
    <col width="14" customWidth="1" min="10" max="10"/>
    <col width="14" customWidth="1" min="11" max="11"/>
    <col width="14" customWidth="1" min="12" max="12"/>
    <col width="31" customWidth="1" min="13" max="13"/>
    <col width="14" customWidth="1" min="14" max="14"/>
    <col width="18" customWidth="1" min="15" max="15"/>
    <col width="14" customWidth="1" min="16" max="16"/>
    <col width="14" customWidth="1" min="17" max="17"/>
    <col width="20" customWidth="1" min="18" max="18"/>
    <col width="19" customWidth="1" min="19" max="19"/>
    <col width="14" customWidth="1" min="20" max="20"/>
    <col width="18" customWidth="1" min="21" max="21"/>
  </cols>
  <sheetData>
    <row r="1">
      <c r="A1" s="1" t="inlineStr">
        <is>
          <t>Intake ID</t>
        </is>
      </c>
      <c r="B1" s="1" t="inlineStr">
        <is>
          <t>Date Added</t>
        </is>
      </c>
      <c r="C1" s="1" t="inlineStr">
        <is>
          <t>Source</t>
        </is>
      </c>
      <c r="D1" s="1" t="inlineStr">
        <is>
          <t>Apollo ID</t>
        </is>
      </c>
      <c r="E1" s="1" t="inlineStr">
        <is>
          <t>First Name</t>
        </is>
      </c>
      <c r="F1" s="1" t="inlineStr">
        <is>
          <t>Last Name</t>
        </is>
      </c>
      <c r="G1" s="1" t="inlineStr">
        <is>
          <t>Full Name</t>
        </is>
      </c>
      <c r="H1" s="1" t="inlineStr">
        <is>
          <t>Job Title</t>
        </is>
      </c>
      <c r="I1" s="1" t="inlineStr">
        <is>
          <t>Company</t>
        </is>
      </c>
      <c r="J1" s="1" t="inlineStr">
        <is>
          <t>Domain</t>
        </is>
      </c>
      <c r="K1" s="1" t="inlineStr">
        <is>
          <t>Website</t>
        </is>
      </c>
      <c r="L1" s="1" t="inlineStr">
        <is>
          <t>Email</t>
        </is>
      </c>
      <c r="M1" s="1" t="inlineStr">
        <is>
          <t>Email Verification Status</t>
        </is>
      </c>
      <c r="N1" s="1" t="inlineStr">
        <is>
          <t>Industry</t>
        </is>
      </c>
      <c r="O1" s="1" t="inlineStr">
        <is>
          <t>Company Type</t>
        </is>
      </c>
      <c r="P1" s="1" t="inlineStr">
        <is>
          <t>Country</t>
        </is>
      </c>
      <c r="Q1" s="1" t="inlineStr">
        <is>
          <t>City</t>
        </is>
      </c>
      <c r="R1" s="1" t="inlineStr">
        <is>
          <t>Employee Count</t>
        </is>
      </c>
      <c r="S1" s="1" t="inlineStr">
        <is>
          <t>Intake Status</t>
        </is>
      </c>
      <c r="T1" s="1" t="inlineStr">
        <is>
          <t>Reason</t>
        </is>
      </c>
      <c r="U1" s="1" t="inlineStr">
        <is>
          <t>Processed At</t>
        </is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Email</t>
        </is>
      </c>
      <c r="B1" s="1" t="inlineStr">
        <is>
          <t>Domain</t>
        </is>
      </c>
      <c r="C1" s="1" t="inlineStr">
        <is>
          <t>Reason</t>
        </is>
      </c>
      <c r="D1" s="1" t="inlineStr">
        <is>
          <t>Source</t>
        </is>
      </c>
      <c r="E1" s="1" t="inlineStr">
        <is>
          <t>Date Added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8" customWidth="1" min="3" max="3"/>
    <col width="17" customWidth="1" min="4" max="4"/>
    <col width="19" customWidth="1" min="5" max="5"/>
    <col width="14" customWidth="1" min="6" max="6"/>
    <col width="19" customWidth="1" min="7" max="7"/>
  </cols>
  <sheetData>
    <row r="1">
      <c r="A1" s="1" t="inlineStr">
        <is>
          <t>Timestamp</t>
        </is>
      </c>
      <c r="B1" s="1" t="inlineStr">
        <is>
          <t>Workflow</t>
        </is>
      </c>
      <c r="C1" s="1" t="inlineStr">
        <is>
          <t>Execution ID</t>
        </is>
      </c>
      <c r="D1" s="1" t="inlineStr">
        <is>
          <t>Failed Node</t>
        </is>
      </c>
      <c r="E1" s="1" t="inlineStr">
        <is>
          <t>Error Message</t>
        </is>
      </c>
      <c r="F1" s="1" t="inlineStr">
        <is>
          <t>Lead ID</t>
        </is>
      </c>
      <c r="G1" s="1" t="inlineStr">
        <is>
          <t>Execution URL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8" customWidth="1" min="4" max="4"/>
    <col width="18" customWidth="1" min="5" max="5"/>
    <col width="26" customWidth="1" min="6" max="6"/>
    <col width="14" customWidth="1" min="7" max="7"/>
    <col width="18" customWidth="1" min="8" max="8"/>
    <col width="18" customWidth="1" min="9" max="9"/>
  </cols>
  <sheetData>
    <row r="1">
      <c r="A1" s="1" t="inlineStr">
        <is>
          <t>Workflow</t>
        </is>
      </c>
      <c r="B1" s="1" t="inlineStr">
        <is>
          <t>Expected Max Gap (h)</t>
        </is>
      </c>
      <c r="C1" s="1" t="inlineStr">
        <is>
          <t>Active</t>
        </is>
      </c>
      <c r="D1" s="1" t="inlineStr">
        <is>
          <t>Last Success</t>
        </is>
      </c>
      <c r="E1" s="1" t="inlineStr">
        <is>
          <t>Last Failure</t>
        </is>
      </c>
      <c r="F1" s="1" t="inlineStr">
        <is>
          <t>Last Failure Message</t>
        </is>
      </c>
      <c r="G1" s="1" t="inlineStr">
        <is>
          <t>Health</t>
        </is>
      </c>
      <c r="H1" s="1" t="inlineStr">
        <is>
          <t>Last Checked</t>
        </is>
      </c>
      <c r="I1" s="1" t="inlineStr">
        <is>
          <t>Last Alerted</t>
        </is>
      </c>
    </row>
  </sheetData>
  <autoFilter ref="A1:I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58" customWidth="1" min="2" max="2"/>
    <col width="56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— Lead funnel (formulas, from Leads tab) —</t>
        </is>
      </c>
    </row>
    <row r="3">
      <c r="A3" t="inlineStr">
        <is>
          <t>Total leads</t>
        </is>
      </c>
      <c r="B3">
        <f>COUNTIF(Leads!$A$2:$A$20000,"?*")</f>
        <v/>
      </c>
      <c r="C3" t="inlineStr">
        <is>
          <t>Rows in Leads (everything that passed qualification)</t>
        </is>
      </c>
    </row>
    <row r="4">
      <c r="A4" t="inlineStr">
        <is>
          <t>Qualified leads (awaiting enrolment)</t>
        </is>
      </c>
      <c r="B4">
        <f>COUNTIF(Leads!$Q$2:$Q$20000,"QUALIFIED")</f>
        <v/>
      </c>
      <c r="C4" t="inlineStr">
        <is>
          <t>Status QUALIFIED</t>
        </is>
      </c>
    </row>
    <row r="5">
      <c r="A5" t="inlineStr">
        <is>
          <t>Enrolled leads (ever)</t>
        </is>
      </c>
      <c r="B5">
        <f>COUNTIF(Leads!$N$2:$N$20000,"?*")</f>
        <v/>
      </c>
      <c r="C5" t="inlineStr">
        <is>
          <t>Rows with an enrolment date</t>
        </is>
      </c>
    </row>
    <row r="6">
      <c r="A6" t="inlineStr">
        <is>
          <t>Emails sent (from webhook events)</t>
        </is>
      </c>
      <c r="B6">
        <f>SUMPRODUCT(--(0&amp;Leads!$AA$2:$AA$20000))</f>
        <v/>
      </c>
      <c r="C6" t="inlineStr">
        <is>
          <t>Sum of Last Step Sent; Instantly's own total is below</t>
        </is>
      </c>
    </row>
    <row r="7">
      <c r="A7" t="inlineStr">
        <is>
          <t>Follow-ups sent</t>
        </is>
      </c>
      <c r="B7">
        <f>SUMPRODUCT((--(0&amp;Leads!$AA$2:$AA$20000)&gt;1)*(--(0&amp;Leads!$AA$2:$AA$20000)-1))</f>
        <v/>
      </c>
      <c r="C7" t="inlineStr">
        <is>
          <t>Emails beyond step 1</t>
        </is>
      </c>
    </row>
    <row r="8">
      <c r="A8" t="inlineStr">
        <is>
          <t>Replies</t>
        </is>
      </c>
      <c r="B8">
        <f>COUNTIF(Leads!$P$2:$P$20000,"?*")</f>
        <v/>
      </c>
      <c r="C8" t="inlineStr">
        <is>
          <t>Rows with a reply date</t>
        </is>
      </c>
    </row>
    <row r="9">
      <c r="A9" t="inlineStr">
        <is>
          <t>Reply rate</t>
        </is>
      </c>
      <c r="B9" s="3">
        <f>IFERROR(B8/COUNTIF(Leads!$O$2:$O$20000,"?*"),0)</f>
        <v/>
      </c>
      <c r="C9" t="inlineStr">
        <is>
          <t>Replies / leads that received at least one email</t>
        </is>
      </c>
    </row>
    <row r="10">
      <c r="A10" t="inlineStr">
        <is>
          <t>Unsubscribes</t>
        </is>
      </c>
      <c r="B10">
        <f>COUNTIF(Leads!$Q$2:$Q$20000,"UNSUBSCRIBED")</f>
        <v/>
      </c>
      <c r="C10" t="inlineStr"/>
    </row>
    <row r="11">
      <c r="A11" t="inlineStr">
        <is>
          <t>Errors (leads currently in ERROR)</t>
        </is>
      </c>
      <c r="B11">
        <f>COUNTIF(Leads!$Q$2:$Q$20000,"ERROR")</f>
        <v/>
      </c>
      <c r="C11" t="inlineStr">
        <is>
          <t>Filter Leads by Current Status = ERROR, see Error Status column</t>
        </is>
      </c>
    </row>
    <row r="12">
      <c r="A12" s="2" t="inlineStr">
        <is>
          <t>— Intake &amp; suppression (formulas) —</t>
        </is>
      </c>
    </row>
    <row r="13">
      <c r="A13" t="inlineStr">
        <is>
          <t>Intake rows waiting for qualification</t>
        </is>
      </c>
      <c r="B13">
        <f>COUNTIF(Intake!$S$2:$S$20000,"PENDING")</f>
        <v/>
      </c>
      <c r="C13" t="inlineStr">
        <is>
          <t>Processed by LXG - 02 every 2 hours</t>
        </is>
      </c>
    </row>
    <row r="14">
      <c r="A14" t="inlineStr">
        <is>
          <t>Intake rejected / duplicate / suppressed</t>
        </is>
      </c>
      <c r="B14">
        <f>COUNTIF(Intake!$S$2:$S$20000,"REJECTED")+COUNTIF(Intake!$S$2:$S$20000,"DUPLICATE")+COUNTIF(Intake!$S$2:$S$20000,"SUPPRESSED")</f>
        <v/>
      </c>
      <c r="C14" t="inlineStr">
        <is>
          <t>See Reason column on Intake</t>
        </is>
      </c>
    </row>
    <row r="15">
      <c r="A15" t="inlineStr">
        <is>
          <t>Suppression list size</t>
        </is>
      </c>
      <c r="B15">
        <f>COUNTA(Suppression!$A$2:$A$20000)+COUNTA(Suppression!$B$2:$B$20000)</f>
        <v/>
      </c>
      <c r="C15" t="inlineStr">
        <is>
          <t>Never re-enrolled</t>
        </is>
      </c>
    </row>
    <row r="16">
      <c r="A16" s="2" t="inlineStr">
        <is>
          <t>— Written by n8n (LXG - 05, weekly) —</t>
        </is>
      </c>
    </row>
    <row r="17">
      <c r="A17" t="inlineStr">
        <is>
          <t>Current campaign status</t>
        </is>
      </c>
      <c r="B17" t="inlineStr"/>
      <c r="C17" t="inlineStr">
        <is>
          <t>From Instantly</t>
        </is>
      </c>
    </row>
    <row r="18">
      <c r="A18" t="inlineStr">
        <is>
          <t>Emails sent (Instantly, all time)</t>
        </is>
      </c>
      <c r="B18" t="inlineStr"/>
      <c r="C18" t="inlineStr">
        <is>
          <t>From Instantly analytics</t>
        </is>
      </c>
    </row>
    <row r="19">
      <c r="A19" t="inlineStr">
        <is>
          <t>Last successful workflow run</t>
        </is>
      </c>
      <c r="B19" t="inlineStr"/>
      <c r="C19" t="inlineStr">
        <is>
          <t>From Heartbeat tab</t>
        </is>
      </c>
    </row>
    <row r="20">
      <c r="A20" t="inlineStr">
        <is>
          <t>Workflow health</t>
        </is>
      </c>
      <c r="B20" t="inlineStr"/>
      <c r="C20" t="inlineStr">
        <is>
          <t>From Heartbeat tab</t>
        </is>
      </c>
    </row>
    <row r="21">
      <c r="A21" t="inlineStr">
        <is>
          <t>Last report generated</t>
        </is>
      </c>
      <c r="B21" t="inlineStr"/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2026-10-09T18:19:15Z</dcterms:created>
  <dcterms:modified xmlns:dcterms="http://purl.org/dc/terms/" xmlns:xsi="http://www.w3.org/2001/XMLSchema-instance" xsi:type="dcterms:W3CDTF">2026-10-09T18:19:15Z</dcterms:modified>
</cp:coreProperties>
</file>